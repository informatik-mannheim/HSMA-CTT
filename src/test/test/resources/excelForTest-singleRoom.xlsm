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 /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mv="urn:schemas-microsoft-com:mac:vml" xmlns:mx="http://schemas.microsoft.com/office/mac/excel/2008/main" xmlns:x14="http://schemas.microsoft.com/office/spreadsheetml/2009/9/main" xmlns:x14ac="http://schemas.microsoft.com/office/spreadsheetml/2009/9/ac" xmlns:x15="http://schemas.microsoft.com/office/spreadsheetml/2010/11/main" xmlns:xm="http://schemas.microsoft.com/office/excel/2006/main" mc:Ignorable="x15">
  <fileVersion appName="xl" lastEdited="4" lowestEdited="4" rupBuild="9302"/>
  <workbookPr/>
  <bookViews>
    <workbookView xWindow="240" yWindow="120" windowWidth="14940" windowHeight="9225" activeTab="0"/>
  </bookViews>
  <sheets>
    <sheet name="Tabelle1" sheetId="1" r:id="rId3"/>
  </sheets>
  <externalReferences>
    <externalReference r:id="rId5"/>
  </externalReferences>
  <definedNames/>
  <calcPr calcId="0"/>
</workbook>
</file>

<file path=xl/calcChain.xml><?xml version="1.0" encoding="utf-8"?>
<calcChain xmlns="http://schemas.openxmlformats.org/spreadsheetml/2006/main">
  <c r="AI2" i="1" l="1"/>
</calcChain>
</file>

<file path=xl/sharedStrings.xml><?xml version="1.0" encoding="utf-8"?>
<sst xmlns="http://schemas.openxmlformats.org/spreadsheetml/2006/main" count="43" uniqueCount="43">
  <si>
    <t>HS</t>
  </si>
  <si>
    <t>Geb.</t>
  </si>
  <si>
    <t>Gebäude</t>
  </si>
  <si>
    <t>Ges.</t>
  </si>
  <si>
    <t>Geschoss</t>
  </si>
  <si>
    <t>örtl.Nr.</t>
  </si>
  <si>
    <t>örtl.Bezeichnung</t>
  </si>
  <si>
    <t>Fläche</t>
  </si>
  <si>
    <t>RNA</t>
  </si>
  <si>
    <t>Nutzung</t>
  </si>
  <si>
    <t>NUT</t>
  </si>
  <si>
    <t>Nutzer</t>
  </si>
  <si>
    <t>KST</t>
  </si>
  <si>
    <t>Kostenstelle</t>
  </si>
  <si>
    <t xml:space="preserve">KFA   </t>
  </si>
  <si>
    <t xml:space="preserve">Kostenflächenart   </t>
  </si>
  <si>
    <t>KFA0</t>
  </si>
  <si>
    <t>KFA1</t>
  </si>
  <si>
    <t>KFA2</t>
  </si>
  <si>
    <t>KFA3</t>
  </si>
  <si>
    <t>KFA4</t>
  </si>
  <si>
    <t>KFA5</t>
  </si>
  <si>
    <t>KFA6</t>
  </si>
  <si>
    <t>KFA7</t>
  </si>
  <si>
    <t>KFA8</t>
  </si>
  <si>
    <t>KFA9</t>
  </si>
  <si>
    <t>KFAtest</t>
  </si>
  <si>
    <t>KFA</t>
  </si>
  <si>
    <t>maxBel</t>
  </si>
  <si>
    <t>Augenschein</t>
  </si>
  <si>
    <t>Formel</t>
  </si>
  <si>
    <t>GültigeMAX</t>
  </si>
  <si>
    <t>building</t>
  </si>
  <si>
    <t>Print</t>
  </si>
  <si>
    <t>Key</t>
  </si>
  <si>
    <t>max Bel.10m² Regel</t>
  </si>
  <si>
    <t>Geb.A</t>
  </si>
  <si>
    <t>Kellergeschoß</t>
  </si>
  <si>
    <t>XYZ</t>
  </si>
  <si>
    <t>xyz</t>
  </si>
  <si>
    <t>ABC</t>
  </si>
  <si>
    <t>abc</t>
  </si>
  <si>
    <t>ohne Kostenflächenart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</si>
</sst>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">
    <font>
      <sz val="12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7">
    <xf numFmtId="0" fontId="0" fillId="0" borderId="0" xfId="0" applyFont="1" applyAlignment="1">
      <alignment/>
    </xf>
    <xf numFmtId="0" fontId="2" fillId="0" borderId="0" xfId="0" applyFont="1"/>
    <xf numFmtId="49" fontId="2" fillId="0" borderId="0" xfId="0" applyNumberFormat="1" applyFont="1"/>
    <xf numFmtId="0" fontId="2" fillId="2" borderId="0" xfId="0" applyFont="1" applyFill="1" applyBorder="1"/>
    <xf numFmtId="0" fontId="2" fillId="3" borderId="0" xfId="0" applyFont="1" applyFill="1" applyBorder="1"/>
    <xf numFmtId="0" fontId="2" fillId="4" borderId="0" xfId="0" applyFont="1" applyFill="1" applyBorder="1"/>
    <xf numFmtId="0" fontId="2" fillId="5" borderId="0" xfId="0" applyFont="1" applyFill="1" applyBorder="1"/>
    <xf numFmtId="0" fontId="2" fillId="0" borderId="0" xfId="0" applyFont="1" applyAlignment="1">
      <alignment horizontal="center"/>
    </xf>
    <xf numFmtId="0" fontId="2" fillId="6" borderId="0" xfId="0" applyFont="1" applyFill="1" applyBorder="1"/>
    <xf numFmtId="0" fontId="3" fillId="0" borderId="0" xfId="0" applyFont="1"/>
    <xf numFmtId="49" fontId="3" fillId="0" borderId="0" xfId="0" applyNumberFormat="1" applyFont="1"/>
    <xf numFmtId="0" fontId="3" fillId="2" borderId="0" xfId="0" applyFont="1" applyBorder="1"/>
    <xf numFmtId="0" fontId="3" fillId="3" borderId="0" xfId="0" applyFont="1" applyBorder="1"/>
    <xf numFmtId="0" fontId="3" fillId="4" borderId="0" xfId="0" applyFont="1" applyBorder="1"/>
    <xf numFmtId="0" fontId="3" fillId="5" borderId="0" xfId="0" applyFont="1" applyBorder="1"/>
    <xf numFmtId="0" fontId="3" fillId="0" borderId="0" xfId="0" applyFont="1" applyAlignment="1">
      <alignment horizontal="center"/>
    </xf>
    <xf numFmtId="0" fontId="3" fillId="6" borderId="0" xfId="0" applyFont="1" applyBorder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<Relationships xmlns="http://schemas.openxmlformats.org/package/2006/relationships"><Relationship Id="rId6" Type="http://schemas.openxmlformats.org/officeDocument/2006/relationships/calcChain" Target="calcChain.xml" /><Relationship Id="rId4" Type="http://schemas.openxmlformats.org/officeDocument/2006/relationships/sharedStrings" Target="sharedStrings.xml" /><Relationship Id="rId5" Type="http://schemas.openxmlformats.org/officeDocument/2006/relationships/externalLink" Target="externalLinks/externalLink1.xml" /><Relationship Id="rId3" Type="http://schemas.openxmlformats.org/officeDocument/2006/relationships/worksheet" Target="worksheets/sheet1.xml" /><Relationship Id="rId1" Type="http://schemas.openxmlformats.org/officeDocument/2006/relationships/theme" Target="theme/theme1.xml" /><Relationship Id="rId2" Type="http://schemas.openxmlformats.org/officeDocument/2006/relationships/styles" Target="styles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1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"/>
    </sheetNames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c50d4fbd-ad08-4237-a217-c5c8f2bfc981}">
  <dimension ref="A1:AJ2"/>
  <sheetViews>
    <sheetView workbookViewId="0" topLeftCell="A1"/>
  </sheetViews>
  <sheetFormatPr defaultColWidth="11.217777777777778" defaultRowHeight="15" customHeight="1"/>
  <cols>
    <col min="1" max="13" width="8.333333333333334" customWidth="1"/>
    <col min="14" max="14" width="15" customWidth="1"/>
    <col min="15" max="36" width="8.333333333333334" customWidth="1"/>
  </cols>
  <sheetData>
    <row r="1" spans="1:36" ht="15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1" t="s">
        <v>6</v>
      </c>
      <c r="H1" s="3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4" t="s">
        <v>28</v>
      </c>
      <c r="AD1" s="5" t="s">
        <v>29</v>
      </c>
      <c r="AE1" s="1" t="s">
        <v>30</v>
      </c>
      <c r="AF1" s="6" t="s">
        <v>31</v>
      </c>
      <c r="AG1" s="7" t="s">
        <v>32</v>
      </c>
      <c r="AH1" s="1" t="s">
        <v>33</v>
      </c>
      <c r="AI1" s="1" t="s">
        <v>34</v>
      </c>
      <c r="AJ1" s="8" t="s">
        <v>35</v>
      </c>
    </row>
    <row r="2" spans="1:36" ht="15.75" customHeight="1">
      <c r="A2" s="9">
        <v>1</v>
      </c>
      <c r="B2" s="9">
        <v>201</v>
      </c>
      <c r="C2" s="9" t="s">
        <v>36</v>
      </c>
      <c r="D2" s="9">
        <v>-1</v>
      </c>
      <c r="E2" s="9" t="s">
        <v>37</v>
      </c>
      <c r="F2" s="10">
        <v>-101</v>
      </c>
      <c r="G2" s="9" t="s">
        <v>38</v>
      </c>
      <c r="H2" s="11">
        <v>90</v>
      </c>
      <c r="I2" s="9">
        <v>810</v>
      </c>
      <c r="J2" s="9" t="s">
        <v>39</v>
      </c>
      <c r="K2" s="9">
        <v>0</v>
      </c>
      <c r="L2" s="9" t="s">
        <v>40</v>
      </c>
      <c r="M2" s="9">
        <v>0</v>
      </c>
      <c r="N2" s="9" t="s">
        <v>41</v>
      </c>
      <c r="O2" s="9">
        <v>0</v>
      </c>
      <c r="P2" s="9" t="s">
        <v>42</v>
      </c>
      <c r="Q2" s="9"/>
      <c r="R2" s="9" t="str">
        <f>IF(P2="Kostenflächenart 1",1,"")</f>
        <v/>
      </c>
      <c r="S2" s="9" t="str">
        <f>IF(P2="Kostenflächenart 2",2,"")</f>
        <v/>
      </c>
      <c r="T2" s="9" t="str">
        <f>IF(P2="Kostenflächenart 3",3,"")</f>
        <v/>
      </c>
      <c r="U2" s="9" t="str">
        <f>IF(P2="Kostenflächenart 4",4,"")</f>
        <v/>
      </c>
      <c r="V2" s="9" t="str">
        <f>IF(P2="Kostenflächenart 5",5,"")</f>
        <v/>
      </c>
      <c r="W2" s="9" t="str">
        <f>IF(P2="Kostenflächenart 6",6,"")</f>
        <v/>
      </c>
      <c r="X2" s="9" t="str">
        <f>IF(P2="Kostenflächenart 7",7,"")</f>
        <v/>
      </c>
      <c r="Y2" s="9" t="str">
        <f>IF(P2="Kostenflächenart 8",8,"")</f>
        <v/>
      </c>
      <c r="Z2" s="9" t="str">
        <f>IF(P2="Kostenflächenart 9",9,"")</f>
        <v/>
      </c>
      <c r="AA2" s="9">
        <f>COUNT(Q2:Z2)</f>
        <v>0</v>
      </c>
      <c r="AB2" s="9">
        <f>MAX(Q2:Z2)</f>
        <v>0</v>
      </c>
      <c r="AC2" s="12"/>
      <c r="AD2" s="13">
        <v>1</v>
      </c>
      <c r="AE2" s="9" t="str">
        <f>IF(AB2=2,ROUNDDOWN(H2/[1]Parameter!$D$10,0))</f>
        <v>#ERROR!</v>
      </c>
      <c r="AF2" s="14" t="str">
        <f>MAX(AD2:AE2)</f>
        <v>#ERROR!</v>
      </c>
      <c r="AG2" s="15" t="str">
        <f>RIGHT(C2,1)</f>
        <v>A</v>
      </c>
      <c r="AH2" s="9"/>
      <c r="AI2" s="9" t="str">
        <f>AG2&amp;F2</f>
        <v>A-101</v>
      </c>
      <c r="AJ2" s="16">
        <v>2</v>
      </c>
    </row>
  </sheetData>
  <pageMargins left="0.7" right="0.7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/>
  <AppVersion>14.0300</AppVersion>
  <DocSecurity>0</DocSecurity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