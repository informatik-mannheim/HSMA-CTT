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oliver/Desktop/"/>
    </mc:Choice>
  </mc:AlternateContent>
  <xr:revisionPtr revIDLastSave="0" documentId="13_ncr:1_{F4925B41-8E31-A84D-85E3-CB2B0F62FD35}" xr6:coauthVersionLast="46" xr6:coauthVersionMax="46" xr10:uidLastSave="{00000000-0000-0000-0000-000000000000}"/>
  <bookViews>
    <workbookView xWindow="12380" yWindow="8040" windowWidth="35460" windowHeight="22780" xr2:uid="{7B422AF0-D4FE-E34A-9939-D822D75D2FA9}"/>
  </bookViews>
  <sheets>
    <sheet name="Tabelle1" sheetId="1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3" i="1" l="1"/>
  <c r="AI3" i="1" s="1"/>
  <c r="Y3" i="1"/>
  <c r="X3" i="1"/>
  <c r="W3" i="1"/>
  <c r="V3" i="1"/>
  <c r="U3" i="1"/>
  <c r="T3" i="1"/>
  <c r="S3" i="1"/>
  <c r="R3" i="1"/>
  <c r="Q3" i="1"/>
  <c r="AB3" i="1" s="1"/>
  <c r="AE3" i="1" s="1"/>
  <c r="AF3" i="1" s="1"/>
  <c r="AG2" i="1"/>
  <c r="AI2" i="1" s="1"/>
  <c r="Z2" i="1"/>
  <c r="Y2" i="1"/>
  <c r="X2" i="1"/>
  <c r="W2" i="1"/>
  <c r="V2" i="1"/>
  <c r="U2" i="1"/>
  <c r="T2" i="1"/>
  <c r="S2" i="1"/>
  <c r="R2" i="1"/>
  <c r="AB2" i="1"/>
  <c r="AE2" i="1" s="1"/>
  <c r="AF2" i="1" s="1"/>
  <c r="AA2" i="1" l="1"/>
  <c r="AA3" i="1"/>
</calcChain>
</file>

<file path=xl/sharedStrings.xml><?xml version="1.0" encoding="utf-8"?>
<sst xmlns="http://schemas.openxmlformats.org/spreadsheetml/2006/main" count="50" uniqueCount="45">
  <si>
    <t>Geb.A</t>
  </si>
  <si>
    <t>Kellergeschoß</t>
  </si>
  <si>
    <t>ohne Kostenflächenart</t>
  </si>
  <si>
    <t>Kostenflächenart 9</t>
  </si>
  <si>
    <t>HS</t>
  </si>
  <si>
    <t>Geb.</t>
  </si>
  <si>
    <t>Gebäude</t>
  </si>
  <si>
    <t>Ges.</t>
  </si>
  <si>
    <t>Geschoss</t>
  </si>
  <si>
    <t>örtl.Nr.</t>
  </si>
  <si>
    <t>örtl.Bezeichnung</t>
  </si>
  <si>
    <t>Fläche</t>
  </si>
  <si>
    <t>RNA</t>
  </si>
  <si>
    <t>Nutzung</t>
  </si>
  <si>
    <t>NUT</t>
  </si>
  <si>
    <t>Nutzer</t>
  </si>
  <si>
    <t>KST</t>
  </si>
  <si>
    <t>Kostenstelle</t>
  </si>
  <si>
    <t xml:space="preserve">KFA   </t>
  </si>
  <si>
    <t xml:space="preserve">Kostenflächenart   </t>
  </si>
  <si>
    <t>KFA0</t>
  </si>
  <si>
    <t>KFA1</t>
  </si>
  <si>
    <t>KFA2</t>
  </si>
  <si>
    <t>KFA3</t>
  </si>
  <si>
    <t>KFA4</t>
  </si>
  <si>
    <t>KFA5</t>
  </si>
  <si>
    <t>KFA6</t>
  </si>
  <si>
    <t>KFA7</t>
  </si>
  <si>
    <t>KFA8</t>
  </si>
  <si>
    <t>KFA9</t>
  </si>
  <si>
    <t>KFAtest</t>
  </si>
  <si>
    <t>KFA</t>
  </si>
  <si>
    <t>maxBel</t>
  </si>
  <si>
    <t>Augenschein</t>
  </si>
  <si>
    <t>Formel</t>
  </si>
  <si>
    <t>GültigeMAX</t>
  </si>
  <si>
    <t>building</t>
  </si>
  <si>
    <t>Print</t>
  </si>
  <si>
    <t>Key</t>
  </si>
  <si>
    <t>max Bel.10m² Regel</t>
  </si>
  <si>
    <t>XYZ</t>
  </si>
  <si>
    <t>ABC</t>
  </si>
  <si>
    <t>xyz</t>
  </si>
  <si>
    <t>abc</t>
  </si>
  <si>
    <t>bc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</si>
</sst>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6" borderId="0" xfId="0" applyFont="1" applyFill="1"/>
    <xf numFmtId="0" fontId="2" fillId="0" borderId="0" xfId="0" applyFont="1"/>
    <xf numFmtId="49" fontId="2" fillId="0" borderId="0" xfId="0" applyNumberFormat="1" applyFont="1"/>
    <xf numFmtId="0" fontId="2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2" fillId="5" borderId="0" xfId="0" applyFont="1" applyFill="1"/>
    <xf numFmtId="0" fontId="2" fillId="0" borderId="0" xfId="0" applyFont="1" applyAlignment="1">
      <alignment horizontal="center"/>
    </xf>
    <xf numFmtId="0" fontId="2" fillId="6" borderId="0" xfId="0" applyFon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liver/Downloads/Raumliste%20fu&#776;r%20MaxBelegung-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S gesamt"/>
      <sheetName val="Datenquelle"/>
      <sheetName val="Blarr"/>
      <sheetName val="Parameter"/>
    </sheetNames>
    <sheetDataSet>
      <sheetData sheetId="0"/>
      <sheetData sheetId="1"/>
      <sheetData sheetId="2"/>
      <sheetData sheetId="3">
        <row r="10">
          <cell r="D10">
            <v>6.3697999999999997</v>
          </cell>
        </row>
      </sheetData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2555A-C523-FD4E-B5F4-232463F00486}">
  <dimension ref="A1:AJ6"/>
  <sheetViews>
    <sheetView tabSelected="1" zoomScale="150" zoomScaleNormal="150" workbookViewId="0">
      <selection activeCell="M3" sqref="M3"/>
    </sheetView>
  </sheetViews>
  <sheetFormatPr baseColWidth="10" defaultRowHeight="16"/>
  <cols>
    <col min="14" max="14" width="19.33203125" customWidth="1"/>
  </cols>
  <sheetData>
    <row r="1" spans="1:36">
      <c r="A1" s="9" t="s">
        <v>4</v>
      </c>
      <c r="B1" s="9" t="s">
        <v>5</v>
      </c>
      <c r="C1" s="9" t="s">
        <v>6</v>
      </c>
      <c r="D1" s="9" t="s">
        <v>7</v>
      </c>
      <c r="E1" s="9" t="s">
        <v>8</v>
      </c>
      <c r="F1" s="10" t="s">
        <v>9</v>
      </c>
      <c r="G1" s="9" t="s">
        <v>10</v>
      </c>
      <c r="H1" s="11" t="s">
        <v>11</v>
      </c>
      <c r="I1" s="9" t="s">
        <v>12</v>
      </c>
      <c r="J1" s="9" t="s">
        <v>13</v>
      </c>
      <c r="K1" s="9" t="s">
        <v>14</v>
      </c>
      <c r="L1" s="9" t="s">
        <v>15</v>
      </c>
      <c r="M1" s="9" t="s">
        <v>16</v>
      </c>
      <c r="N1" s="9" t="s">
        <v>17</v>
      </c>
      <c r="O1" s="9" t="s">
        <v>18</v>
      </c>
      <c r="P1" s="9" t="s">
        <v>19</v>
      </c>
      <c r="Q1" s="9" t="s">
        <v>20</v>
      </c>
      <c r="R1" s="9" t="s">
        <v>21</v>
      </c>
      <c r="S1" s="9" t="s">
        <v>22</v>
      </c>
      <c r="T1" s="9" t="s">
        <v>23</v>
      </c>
      <c r="U1" s="9" t="s">
        <v>24</v>
      </c>
      <c r="V1" s="9" t="s">
        <v>25</v>
      </c>
      <c r="W1" s="9" t="s">
        <v>26</v>
      </c>
      <c r="X1" s="9" t="s">
        <v>27</v>
      </c>
      <c r="Y1" s="9" t="s">
        <v>28</v>
      </c>
      <c r="Z1" s="9" t="s">
        <v>29</v>
      </c>
      <c r="AA1" s="9" t="s">
        <v>30</v>
      </c>
      <c r="AB1" s="9" t="s">
        <v>31</v>
      </c>
      <c r="AC1" s="12" t="s">
        <v>32</v>
      </c>
      <c r="AD1" s="13" t="s">
        <v>33</v>
      </c>
      <c r="AE1" s="9" t="s">
        <v>34</v>
      </c>
      <c r="AF1" s="14" t="s">
        <v>35</v>
      </c>
      <c r="AG1" s="15" t="s">
        <v>36</v>
      </c>
      <c r="AH1" s="9" t="s">
        <v>37</v>
      </c>
      <c r="AI1" s="9" t="s">
        <v>38</v>
      </c>
      <c r="AJ1" s="16" t="s">
        <v>39</v>
      </c>
    </row>
    <row r="2" spans="1:36">
      <c r="A2" s="1">
        <v>1</v>
      </c>
      <c r="B2" s="1">
        <v>201</v>
      </c>
      <c r="C2" s="1" t="s">
        <v>0</v>
      </c>
      <c r="D2" s="1">
        <v>-1</v>
      </c>
      <c r="E2" s="1" t="s">
        <v>1</v>
      </c>
      <c r="F2" s="2">
        <v>-101</v>
      </c>
      <c r="G2" s="1" t="s">
        <v>40</v>
      </c>
      <c r="H2" s="3">
        <v>90</v>
      </c>
      <c r="I2" s="1">
        <v>810</v>
      </c>
      <c r="J2" s="1" t="s">
        <v>42</v>
      </c>
      <c r="K2" s="1">
        <v>0</v>
      </c>
      <c r="L2" s="1" t="s">
        <v>41</v>
      </c>
      <c r="M2" s="1">
        <v>0</v>
      </c>
      <c r="N2" s="1" t="s">
        <v>43</v>
      </c>
      <c r="O2" s="1">
        <v>0</v>
      </c>
      <c r="P2" s="1" t="s">
        <v>2</v>
      </c>
      <c r="Q2" s="1"/>
      <c r="R2" s="1" t="str">
        <f>IF(P2="Kostenflächenart 1",1,"")</f>
        <v/>
      </c>
      <c r="S2" s="1" t="str">
        <f>IF(P2="Kostenflächenart 2",2,"")</f>
        <v/>
      </c>
      <c r="T2" s="1" t="str">
        <f>IF(P2="Kostenflächenart 3",3,"")</f>
        <v/>
      </c>
      <c r="U2" s="1" t="str">
        <f>IF(P2="Kostenflächenart 4",4,"")</f>
        <v/>
      </c>
      <c r="V2" s="1" t="str">
        <f>IF(P2="Kostenflächenart 5",5,"")</f>
        <v/>
      </c>
      <c r="W2" s="1" t="str">
        <f>IF(P2="Kostenflächenart 6",6,"")</f>
        <v/>
      </c>
      <c r="X2" s="1" t="str">
        <f>IF(P2="Kostenflächenart 7",7,"")</f>
        <v/>
      </c>
      <c r="Y2" s="1" t="str">
        <f>IF(P2="Kostenflächenart 8",8,"")</f>
        <v/>
      </c>
      <c r="Z2" s="1" t="str">
        <f>IF(P2="Kostenflächenart 9",9,"")</f>
        <v/>
      </c>
      <c r="AA2" s="1">
        <f>COUNT(Q2:Z2)</f>
        <v>0</v>
      </c>
      <c r="AB2" s="1">
        <f>MAX(Q2:Z2)</f>
        <v>0</v>
      </c>
      <c r="AC2" s="4"/>
      <c r="AD2" s="5">
        <v>1</v>
      </c>
      <c r="AE2" s="1" t="b">
        <f>IF(AB2=2,ROUNDDOWN(H2/[1]Parameter!$D$10,0))</f>
        <v>0</v>
      </c>
      <c r="AF2" s="6">
        <f t="shared" ref="AF2:AF6" si="0">MAX(AD2:AE2)</f>
        <v>1</v>
      </c>
      <c r="AG2" s="7" t="str">
        <f t="shared" ref="AG2:AG6" si="1">RIGHT(C2,1)</f>
        <v>A</v>
      </c>
      <c r="AH2" s="1"/>
      <c r="AI2" s="1" t="str">
        <f>AG2&amp;F2</f>
        <v>A-101</v>
      </c>
      <c r="AJ2" s="8">
        <v>2</v>
      </c>
    </row>
    <row r="3" spans="1:36">
      <c r="A3" s="1">
        <v>2</v>
      </c>
      <c r="B3" s="1">
        <v>201</v>
      </c>
      <c r="C3" s="1" t="s">
        <v>0</v>
      </c>
      <c r="D3" s="1">
        <v>-1</v>
      </c>
      <c r="E3" s="1" t="s">
        <v>1</v>
      </c>
      <c r="F3" s="2">
        <v>-102</v>
      </c>
      <c r="G3" s="1" t="s">
        <v>41</v>
      </c>
      <c r="H3" s="3">
        <v>80</v>
      </c>
      <c r="I3" s="1">
        <v>910</v>
      </c>
      <c r="J3" s="1" t="s">
        <v>42</v>
      </c>
      <c r="K3" s="1">
        <v>0</v>
      </c>
      <c r="L3" s="1" t="s">
        <v>41</v>
      </c>
      <c r="M3" s="1">
        <v>0</v>
      </c>
      <c r="N3" s="1" t="s">
        <v>44</v>
      </c>
      <c r="O3" s="1">
        <v>9</v>
      </c>
      <c r="P3" s="1" t="s">
        <v>3</v>
      </c>
      <c r="Q3" s="1" t="str">
        <f t="shared" ref="Q3:Q6" si="2">IF(P3="ohne Kostenflächenart",0,"")</f>
        <v/>
      </c>
      <c r="R3" s="1" t="str">
        <f t="shared" ref="R3:R6" si="3">IF(P3="Kostenflächenart 1",1,"")</f>
        <v/>
      </c>
      <c r="S3" s="1" t="str">
        <f t="shared" ref="S3:S6" si="4">IF(P3="Kostenflächenart 2",2,"")</f>
        <v/>
      </c>
      <c r="T3" s="1" t="str">
        <f t="shared" ref="T3:T6" si="5">IF(P3="Kostenflächenart 3",3,"")</f>
        <v/>
      </c>
      <c r="U3" s="1" t="str">
        <f t="shared" ref="U3:U6" si="6">IF(P3="Kostenflächenart 4",4,"")</f>
        <v/>
      </c>
      <c r="V3" s="1" t="str">
        <f t="shared" ref="V3:V6" si="7">IF(P3="Kostenflächenart 5",5,"")</f>
        <v/>
      </c>
      <c r="W3" s="1" t="str">
        <f t="shared" ref="W3:W6" si="8">IF(P3="Kostenflächenart 6",6,"")</f>
        <v/>
      </c>
      <c r="X3" s="1" t="str">
        <f t="shared" ref="X3:X6" si="9">IF(P3="Kostenflächenart 7",7,"")</f>
        <v/>
      </c>
      <c r="Y3" s="1" t="str">
        <f t="shared" ref="Y3:Y6" si="10">IF(P3="Kostenflächenart 8",8,"")</f>
        <v/>
      </c>
      <c r="Z3" s="1"/>
      <c r="AA3" s="1">
        <f t="shared" ref="AA3:AA6" si="11">COUNT(Q3:Z3)</f>
        <v>0</v>
      </c>
      <c r="AB3" s="1">
        <f t="shared" ref="AB3:AB6" si="12">MAX(Q3:Z3)</f>
        <v>0</v>
      </c>
      <c r="AC3" s="4"/>
      <c r="AD3" s="5">
        <v>1</v>
      </c>
      <c r="AE3" s="1" t="b">
        <f>IF(AB3=2,ROUNDDOWN(H3/[1]Parameter!$D$10,0))</f>
        <v>0</v>
      </c>
      <c r="AF3" s="6">
        <f t="shared" si="0"/>
        <v>1</v>
      </c>
      <c r="AG3" s="7" t="str">
        <f t="shared" si="1"/>
        <v>A</v>
      </c>
      <c r="AH3" s="1"/>
      <c r="AI3" s="1" t="str">
        <f t="shared" ref="AI3:AI6" si="13">AG3&amp;F3</f>
        <v>A-102</v>
      </c>
      <c r="AJ3" s="8">
        <v>8</v>
      </c>
    </row>
    <row r="4" spans="1:36">
      <c r="A4" s="1"/>
      <c r="B4" s="1"/>
      <c r="C4" s="1"/>
      <c r="D4" s="1"/>
      <c r="E4" s="1"/>
      <c r="F4" s="2"/>
      <c r="G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E4" s="1"/>
      <c r="AG4" s="7"/>
      <c r="AH4" s="1"/>
      <c r="AI4" s="1"/>
    </row>
    <row r="5" spans="1:36">
      <c r="A5" s="1"/>
      <c r="B5" s="1"/>
      <c r="C5" s="1"/>
      <c r="D5" s="1"/>
      <c r="E5" s="1"/>
      <c r="F5" s="2"/>
      <c r="G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E5" s="1"/>
      <c r="AG5" s="7"/>
      <c r="AH5" s="1"/>
      <c r="AI5" s="1"/>
    </row>
    <row r="6" spans="1:36">
      <c r="A6" s="1"/>
      <c r="B6" s="1"/>
      <c r="C6" s="1"/>
      <c r="D6" s="1"/>
      <c r="E6" s="1"/>
      <c r="F6" s="2"/>
      <c r="G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E6" s="1"/>
      <c r="AG6" s="7"/>
      <c r="AH6" s="1"/>
      <c r="AI6" s="1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</dc:creator>
  <cp:lastModifiedBy>HUM</cp:lastModifiedBy>
  <dcterms:created xsi:type="dcterms:W3CDTF">2021-04-02T17:08:22Z</dcterms:created>
  <dcterms:modified xsi:type="dcterms:W3CDTF">2021-04-02T17:13:37Z</dcterms:modified>
</cp:coreProperties>
</file>